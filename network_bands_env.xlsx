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전체요약" sheetId="1" state="visible" r:id="rId3"/>
    <sheet name="DEV" sheetId="2" state="visible" r:id="rId4"/>
    <sheet name="STG" sheetId="3" state="visible" r:id="rId5"/>
    <sheet name="PRD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<sst xmlns="http://schemas.openxmlformats.org/spreadsheetml/2006/main" count="202" uniqueCount="112">
  <si>
    <r>
      <rPr>
        <b val="true"/>
        <sz val="14"/>
        <rFont val="Arial"/>
        <family val="0"/>
        <charset val="1"/>
      </rPr>
      <t xml:space="preserve">100.64.0.0/16 </t>
    </r>
    <r>
      <rPr>
        <b val="true"/>
        <sz val="14"/>
        <rFont val="Noto Sans CJK SC"/>
        <family val="2"/>
      </rPr>
      <t xml:space="preserve">환경별 사용</t>
    </r>
    <r>
      <rPr>
        <b val="true"/>
        <sz val="14"/>
        <rFont val="Arial"/>
        <family val="0"/>
        <charset val="1"/>
      </rPr>
      <t xml:space="preserve">/</t>
    </r>
    <r>
      <rPr>
        <b val="true"/>
        <sz val="14"/>
        <rFont val="Noto Sans CJK SC"/>
        <family val="2"/>
      </rPr>
      <t xml:space="preserve">가용 요약</t>
    </r>
  </si>
  <si>
    <t xml:space="preserve">환경</t>
  </si>
  <si>
    <r>
      <rPr>
        <b val="true"/>
        <sz val="11"/>
        <color rgb="FFFFFFFF"/>
        <rFont val="Noto Sans CJK SC"/>
        <family val="2"/>
      </rPr>
      <t xml:space="preserve">사용 대역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개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</si>
  <si>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가용 대역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개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</si>
  <si>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사용률</t>
  </si>
  <si>
    <t xml:space="preserve">DEV</t>
  </si>
  <si>
    <t xml:space="preserve">STG</t>
  </si>
  <si>
    <t xml:space="preserve">PRD</t>
  </si>
  <si>
    <r>
      <rPr>
        <i val="true"/>
        <sz val="9"/>
        <color rgb="FF808080"/>
        <rFont val="Arial"/>
        <family val="0"/>
        <charset val="1"/>
      </rPr>
      <t xml:space="preserve">※ dev/stg/prd </t>
    </r>
    <r>
      <rPr>
        <i val="true"/>
        <sz val="9"/>
        <color rgb="FF808080"/>
        <rFont val="Noto Sans CJK SC"/>
        <family val="2"/>
      </rPr>
      <t xml:space="preserve">각각 별도 클러스터 그룹</t>
    </r>
    <r>
      <rPr>
        <i val="true"/>
        <sz val="9"/>
        <color rgb="FF808080"/>
        <rFont val="Arial"/>
        <family val="0"/>
        <charset val="1"/>
      </rPr>
      <t xml:space="preserve">(cm+kn4)</t>
    </r>
    <r>
      <rPr>
        <i val="true"/>
        <sz val="9"/>
        <color rgb="FF808080"/>
        <rFont val="Noto Sans CJK SC"/>
        <family val="2"/>
      </rPr>
      <t xml:space="preserve">이 </t>
    </r>
    <r>
      <rPr>
        <i val="true"/>
        <sz val="9"/>
        <color rgb="FF808080"/>
        <rFont val="Arial"/>
        <family val="0"/>
        <charset val="1"/>
      </rPr>
      <t xml:space="preserve">100.64.0.0/16 </t>
    </r>
    <r>
      <rPr>
        <i val="true"/>
        <sz val="9"/>
        <color rgb="FF808080"/>
        <rFont val="Noto Sans CJK SC"/>
        <family val="2"/>
      </rPr>
      <t xml:space="preserve">전체 대역을 공유하며 겹치는 부분이 존재합니다</t>
    </r>
    <r>
      <rPr>
        <i val="true"/>
        <sz val="9"/>
        <color rgb="FF808080"/>
        <rFont val="Arial"/>
        <family val="0"/>
        <charset val="1"/>
      </rPr>
      <t xml:space="preserve">. </t>
    </r>
    <r>
      <rPr>
        <i val="true"/>
        <sz val="9"/>
        <color rgb="FF808080"/>
        <rFont val="Noto Sans CJK SC"/>
        <family val="2"/>
      </rPr>
      <t xml:space="preserve">위 수치는 환경별로 사용 중인 고유 </t>
    </r>
    <r>
      <rPr>
        <i val="true"/>
        <sz val="9"/>
        <color rgb="FF808080"/>
        <rFont val="Arial"/>
        <family val="0"/>
        <charset val="1"/>
      </rPr>
      <t xml:space="preserve">/24 </t>
    </r>
    <r>
      <rPr>
        <i val="true"/>
        <sz val="9"/>
        <color rgb="FF808080"/>
        <rFont val="Noto Sans CJK SC"/>
        <family val="2"/>
      </rPr>
      <t xml:space="preserve">블록 수를 기준으로 계산했습니다</t>
    </r>
    <r>
      <rPr>
        <i val="true"/>
        <sz val="9"/>
        <color rgb="FF808080"/>
        <rFont val="Arial"/>
        <family val="0"/>
        <charset val="1"/>
      </rPr>
      <t xml:space="preserve">.</t>
    </r>
  </si>
  <si>
    <r>
      <rPr>
        <b val="true"/>
        <sz val="14"/>
        <rFont val="Arial"/>
        <family val="0"/>
        <charset val="1"/>
      </rPr>
      <t xml:space="preserve">DEV — 100.64.0.0/16 </t>
    </r>
    <r>
      <rPr>
        <b val="true"/>
        <sz val="14"/>
        <rFont val="Noto Sans CJK SC"/>
        <family val="2"/>
      </rPr>
      <t xml:space="preserve">내 사용</t>
    </r>
    <r>
      <rPr>
        <b val="true"/>
        <sz val="14"/>
        <rFont val="Arial"/>
        <family val="0"/>
        <charset val="1"/>
      </rPr>
      <t xml:space="preserve">/</t>
    </r>
    <r>
      <rPr>
        <b val="true"/>
        <sz val="14"/>
        <rFont val="Noto Sans CJK SC"/>
        <family val="2"/>
      </rPr>
      <t xml:space="preserve">가용 대역 </t>
    </r>
    <r>
      <rPr>
        <b val="true"/>
        <sz val="14"/>
        <rFont val="Arial"/>
        <family val="0"/>
        <charset val="1"/>
      </rPr>
      <t xml:space="preserve">(cm + kn4 </t>
    </r>
    <r>
      <rPr>
        <b val="true"/>
        <sz val="14"/>
        <rFont val="Noto Sans CJK SC"/>
        <family val="2"/>
      </rPr>
      <t xml:space="preserve">통합</t>
    </r>
    <r>
      <rPr>
        <b val="true"/>
        <sz val="14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</si>
  <si>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클러스터별 원본 대역 </t>
    </r>
    <r>
      <rPr>
        <b val="true"/>
        <sz val="11"/>
        <color rgb="FFFFFFFF"/>
        <rFont val="Arial"/>
        <family val="0"/>
        <charset val="1"/>
      </rPr>
      <t xml:space="preserve">(podCidr / serviceCidr)</t>
    </r>
  </si>
  <si>
    <t xml:space="preserve">클러스터명</t>
  </si>
  <si>
    <t xml:space="preserve">podCidr</t>
  </si>
  <si>
    <t xml:space="preserve">serviceCidr</t>
  </si>
  <si>
    <t xml:space="preserve">cm-hea-dev-genai-aks-llmopssv01</t>
  </si>
  <si>
    <t xml:space="preserve">100.64.112.0/20</t>
  </si>
  <si>
    <t xml:space="preserve">100.64.3.0/24</t>
  </si>
  <si>
    <t xml:space="preserve">cm-hea-dev-genai-aks-llmopstr01</t>
  </si>
  <si>
    <t xml:space="preserve">100.64.128.0/20</t>
  </si>
  <si>
    <t xml:space="preserve">100.64.4.0/24</t>
  </si>
  <si>
    <t xml:space="preserve">cm-hea-dev-genai-aks-serving01</t>
  </si>
  <si>
    <t xml:space="preserve">100.64.80.0/20</t>
  </si>
  <si>
    <t xml:space="preserve">100.64.1.0/24</t>
  </si>
  <si>
    <t xml:space="preserve">cm-hea-dev-genai-aks-serving02</t>
  </si>
  <si>
    <t xml:space="preserve">100.64.144.0/20</t>
  </si>
  <si>
    <t xml:space="preserve">100.64.12.0/22</t>
  </si>
  <si>
    <t xml:space="preserve">cm-hea-dev-genai-aks-solution01</t>
  </si>
  <si>
    <t xml:space="preserve">100.64.96.0/19</t>
  </si>
  <si>
    <t xml:space="preserve">100.64.0.0/24</t>
  </si>
  <si>
    <t xml:space="preserve">cm-hea-dev-genai-aks-training01</t>
  </si>
  <si>
    <t xml:space="preserve">100.64.32.0/19</t>
  </si>
  <si>
    <t xml:space="preserve">100.64.2.0/24</t>
  </si>
  <si>
    <t xml:space="preserve">cm-hea-dev-genai-aks-training02</t>
  </si>
  <si>
    <t xml:space="preserve">100.64.64.0/20</t>
  </si>
  <si>
    <t xml:space="preserve">100.64.8.0/22</t>
  </si>
  <si>
    <t xml:space="preserve">kn4-gai-genai-dev-aks-01</t>
  </si>
  <si>
    <t xml:space="preserve">100.64.128.0/19</t>
  </si>
  <si>
    <t xml:space="preserve">100.64.232.0/23</t>
  </si>
  <si>
    <r>
      <rPr>
        <b val="true"/>
        <sz val="11"/>
        <color rgb="FFFFFFFF"/>
        <rFont val="Noto Sans CJK SC"/>
        <family val="2"/>
      </rPr>
      <t xml:space="preserve">사용중 </t>
    </r>
    <r>
      <rPr>
        <b val="true"/>
        <sz val="11"/>
        <color rgb="FFFFFFFF"/>
        <rFont val="Arial"/>
        <family val="0"/>
        <charset val="1"/>
      </rPr>
      <t xml:space="preserve">(podCidr + serviceCidr </t>
    </r>
    <r>
      <rPr>
        <b val="true"/>
        <sz val="11"/>
        <color rgb="FFFFFFFF"/>
        <rFont val="Noto Sans CJK SC"/>
        <family val="2"/>
      </rPr>
      <t xml:space="preserve">통합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</si>
  <si>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CIDR</t>
  </si>
  <si>
    <r>
      <rPr>
        <b val="true"/>
        <sz val="11"/>
        <color rgb="FFFFFFFF"/>
        <rFont val="Arial"/>
        <family val="0"/>
        <charset val="1"/>
      </rPr>
      <t xml:space="preserve">IP </t>
    </r>
    <r>
      <rPr>
        <b val="true"/>
        <sz val="11"/>
        <color rgb="FFFFFFFF"/>
        <rFont val="Noto Sans CJK SC"/>
        <family val="2"/>
      </rPr>
      <t xml:space="preserve">범위</t>
    </r>
  </si>
  <si>
    <r>
      <rPr>
        <b val="true"/>
        <sz val="11"/>
        <color rgb="FFFFFFFF"/>
        <rFont val="Noto Sans CJK SC"/>
        <family val="2"/>
      </rPr>
      <t xml:space="preserve">크기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개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</si>
  <si>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100.64.0.0/22</t>
  </si>
  <si>
    <t xml:space="preserve">100.64.0.0 ~ 100.64.3.255</t>
  </si>
  <si>
    <t xml:space="preserve">100.64.4.0 ~ 100.64.4.255</t>
  </si>
  <si>
    <t xml:space="preserve">100.64.8.0/21</t>
  </si>
  <si>
    <t xml:space="preserve">100.64.8.0 ~ 100.64.15.255</t>
  </si>
  <si>
    <t xml:space="preserve">100.64.32.0 ~ 100.64.63.255</t>
  </si>
  <si>
    <t xml:space="preserve">100.64.64.0/18</t>
  </si>
  <si>
    <t xml:space="preserve">100.64.64.0 ~ 100.64.127.255</t>
  </si>
  <si>
    <t xml:space="preserve">100.64.128.0 ~ 100.64.159.255</t>
  </si>
  <si>
    <t xml:space="preserve">100.64.232.0 ~ 100.64.233.255</t>
  </si>
  <si>
    <t xml:space="preserve">소계</t>
  </si>
  <si>
    <r>
      <rPr>
        <b val="true"/>
        <sz val="11"/>
        <color rgb="FFFFFFFF"/>
        <rFont val="Noto Sans CJK SC"/>
        <family val="2"/>
      </rPr>
      <t xml:space="preserve">가용 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미사용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</si>
  <si>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100.64.5.0/24</t>
  </si>
  <si>
    <t xml:space="preserve">100.64.5.0 ~ 100.64.5.255</t>
  </si>
  <si>
    <t xml:space="preserve">100.64.6.0/23</t>
  </si>
  <si>
    <t xml:space="preserve">100.64.6.0 ~ 100.64.7.255</t>
  </si>
  <si>
    <t xml:space="preserve">100.64.16.0/20</t>
  </si>
  <si>
    <t xml:space="preserve">100.64.16.0 ~ 100.64.31.255</t>
  </si>
  <si>
    <t xml:space="preserve">100.64.160.0/19</t>
  </si>
  <si>
    <t xml:space="preserve">100.64.160.0 ~ 100.64.191.255</t>
  </si>
  <si>
    <t xml:space="preserve">100.64.192.0/19</t>
  </si>
  <si>
    <t xml:space="preserve">100.64.192.0 ~ 100.64.223.255</t>
  </si>
  <si>
    <t xml:space="preserve">100.64.224.0/21</t>
  </si>
  <si>
    <t xml:space="preserve">100.64.224.0 ~ 100.64.231.255</t>
  </si>
  <si>
    <t xml:space="preserve">100.64.234.0/23</t>
  </si>
  <si>
    <t xml:space="preserve">100.64.234.0 ~ 100.64.235.255</t>
  </si>
  <si>
    <t xml:space="preserve">100.64.236.0/22</t>
  </si>
  <si>
    <t xml:space="preserve">100.64.236.0 ~ 100.64.239.255</t>
  </si>
  <si>
    <t xml:space="preserve">100.64.240.0/20</t>
  </si>
  <si>
    <t xml:space="preserve">100.64.240.0 ~ 100.64.255.255</t>
  </si>
  <si>
    <r>
      <rPr>
        <i val="true"/>
        <sz val="9"/>
        <color rgb="FF808080"/>
        <rFont val="Arial"/>
        <family val="0"/>
        <charset val="1"/>
      </rPr>
      <t xml:space="preserve">※ kn4-gai-genai-dev-aks-01</t>
    </r>
    <r>
      <rPr>
        <i val="true"/>
        <sz val="9"/>
        <color rgb="FF808080"/>
        <rFont val="Noto Sans CJK SC"/>
        <family val="2"/>
      </rPr>
      <t xml:space="preserve">의 </t>
    </r>
    <r>
      <rPr>
        <i val="true"/>
        <sz val="9"/>
        <color rgb="FF808080"/>
        <rFont val="Arial"/>
        <family val="0"/>
        <charset val="1"/>
      </rPr>
      <t xml:space="preserve">podCidr(100.64.128.0/19)</t>
    </r>
    <r>
      <rPr>
        <i val="true"/>
        <sz val="9"/>
        <color rgb="FF808080"/>
        <rFont val="Noto Sans CJK SC"/>
        <family val="2"/>
      </rPr>
      <t xml:space="preserve">이 </t>
    </r>
    <r>
      <rPr>
        <i val="true"/>
        <sz val="9"/>
        <color rgb="FF808080"/>
        <rFont val="Arial"/>
        <family val="0"/>
        <charset val="1"/>
      </rPr>
      <t xml:space="preserve">cm dev </t>
    </r>
    <r>
      <rPr>
        <i val="true"/>
        <sz val="9"/>
        <color rgb="FF808080"/>
        <rFont val="Noto Sans CJK SC"/>
        <family val="2"/>
      </rPr>
      <t xml:space="preserve">클러스터들과 일부 겹칩니다 </t>
    </r>
    <r>
      <rPr>
        <i val="true"/>
        <sz val="9"/>
        <color rgb="FF808080"/>
        <rFont val="Arial"/>
        <family val="0"/>
        <charset val="1"/>
      </rPr>
      <t xml:space="preserve">(</t>
    </r>
    <r>
      <rPr>
        <i val="true"/>
        <sz val="9"/>
        <color rgb="FF808080"/>
        <rFont val="Noto Sans CJK SC"/>
        <family val="2"/>
      </rPr>
      <t xml:space="preserve">같은 </t>
    </r>
    <r>
      <rPr>
        <i val="true"/>
        <sz val="9"/>
        <color rgb="FF808080"/>
        <rFont val="Arial"/>
        <family val="0"/>
        <charset val="1"/>
      </rPr>
      <t xml:space="preserve">VNet </t>
    </r>
    <r>
      <rPr>
        <i val="true"/>
        <sz val="9"/>
        <color rgb="FF808080"/>
        <rFont val="Noto Sans CJK SC"/>
        <family val="2"/>
      </rPr>
      <t xml:space="preserve">내 재사용은 </t>
    </r>
    <r>
      <rPr>
        <i val="true"/>
        <sz val="9"/>
        <color rgb="FF808080"/>
        <rFont val="Arial"/>
        <family val="0"/>
        <charset val="1"/>
      </rPr>
      <t xml:space="preserve">CNI Overlay </t>
    </r>
    <r>
      <rPr>
        <i val="true"/>
        <sz val="9"/>
        <color rgb="FF808080"/>
        <rFont val="Noto Sans CJK SC"/>
        <family val="2"/>
      </rPr>
      <t xml:space="preserve">정책상 허용</t>
    </r>
    <r>
      <rPr>
        <i val="true"/>
        <sz val="9"/>
        <color rgb="FF808080"/>
        <rFont val="Arial"/>
        <family val="0"/>
        <charset val="1"/>
      </rPr>
      <t xml:space="preserve">).</t>
    </r>
  </si>
  <si>
    <r>
      <rPr>
        <b val="true"/>
        <sz val="14"/>
        <rFont val="Arial"/>
        <family val="0"/>
        <charset val="1"/>
      </rPr>
      <t xml:space="preserve">STG — 100.64.0.0/16 </t>
    </r>
    <r>
      <rPr>
        <b val="true"/>
        <sz val="14"/>
        <rFont val="Noto Sans CJK SC"/>
        <family val="2"/>
      </rPr>
      <t xml:space="preserve">내 사용</t>
    </r>
    <r>
      <rPr>
        <b val="true"/>
        <sz val="14"/>
        <rFont val="Arial"/>
        <family val="0"/>
        <charset val="1"/>
      </rPr>
      <t xml:space="preserve">/</t>
    </r>
    <r>
      <rPr>
        <b val="true"/>
        <sz val="14"/>
        <rFont val="Noto Sans CJK SC"/>
        <family val="2"/>
      </rPr>
      <t xml:space="preserve">가용 대역 </t>
    </r>
    <r>
      <rPr>
        <b val="true"/>
        <sz val="14"/>
        <rFont val="Arial"/>
        <family val="0"/>
        <charset val="1"/>
      </rPr>
      <t xml:space="preserve">(cm + kn4 </t>
    </r>
    <r>
      <rPr>
        <b val="true"/>
        <sz val="14"/>
        <rFont val="Noto Sans CJK SC"/>
        <family val="2"/>
      </rPr>
      <t xml:space="preserve">통합</t>
    </r>
    <r>
      <rPr>
        <b val="true"/>
        <sz val="14"/>
        <rFont val="Arial"/>
        <family val="0"/>
        <charset val="1"/>
      </rPr>
      <t xml:space="preserve">)</t>
    </r>
  </si>
  <si>
    <t xml:space="preserve">cm-hea-stg-genai-aks-llmopssv01</t>
  </si>
  <si>
    <t xml:space="preserve">cm-hea-stg-genai-aks-llmopstr01</t>
  </si>
  <si>
    <t xml:space="preserve">cm-hea-stg-genai-aks-serving01</t>
  </si>
  <si>
    <t xml:space="preserve">cm-hea-stg-genai-aks-serving02</t>
  </si>
  <si>
    <t xml:space="preserve">100.64.160.0/20</t>
  </si>
  <si>
    <t xml:space="preserve">cm-hea-stg-genai-aks-solution01</t>
  </si>
  <si>
    <t xml:space="preserve">cm-hea-stg-genai-aks-training01</t>
  </si>
  <si>
    <t xml:space="preserve">100.64.96.0/20</t>
  </si>
  <si>
    <t xml:space="preserve">cm-hea-stg-genai-aks-training02</t>
  </si>
  <si>
    <t xml:space="preserve">100.64.0.0/23</t>
  </si>
  <si>
    <t xml:space="preserve">100.64.0.0 ~ 100.64.1.255</t>
  </si>
  <si>
    <t xml:space="preserve">100.64.2.0 ~ 100.64.2.255</t>
  </si>
  <si>
    <t xml:space="preserve">100.64.64.0/19</t>
  </si>
  <si>
    <t xml:space="preserve">100.64.64.0 ~ 100.64.95.255</t>
  </si>
  <si>
    <t xml:space="preserve">100.64.96.0 ~ 100.64.111.255</t>
  </si>
  <si>
    <t xml:space="preserve">100.64.160.0 ~ 100.64.175.255</t>
  </si>
  <si>
    <t xml:space="preserve">100.64.3.0 ~ 100.64.3.255</t>
  </si>
  <si>
    <t xml:space="preserve">100.64.112.0 ~ 100.64.127.255</t>
  </si>
  <si>
    <t xml:space="preserve">100.64.176.0/20</t>
  </si>
  <si>
    <t xml:space="preserve">100.64.176.0 ~ 100.64.191.255</t>
  </si>
  <si>
    <t xml:space="preserve">100.64.192.0/18</t>
  </si>
  <si>
    <t xml:space="preserve">100.64.192.0 ~ 100.64.255.255</t>
  </si>
  <si>
    <r>
      <rPr>
        <i val="true"/>
        <sz val="9"/>
        <color rgb="FF808080"/>
        <rFont val="Arial"/>
        <family val="0"/>
        <charset val="1"/>
      </rPr>
      <t xml:space="preserve">※ stg-llmopssv01</t>
    </r>
    <r>
      <rPr>
        <i val="true"/>
        <sz val="9"/>
        <color rgb="FF808080"/>
        <rFont val="Noto Sans CJK SC"/>
        <family val="2"/>
      </rPr>
      <t xml:space="preserve">과 </t>
    </r>
    <r>
      <rPr>
        <i val="true"/>
        <sz val="9"/>
        <color rgb="FF808080"/>
        <rFont val="Arial"/>
        <family val="0"/>
        <charset val="1"/>
      </rPr>
      <t xml:space="preserve">stg-solution01</t>
    </r>
    <r>
      <rPr>
        <i val="true"/>
        <sz val="9"/>
        <color rgb="FF808080"/>
        <rFont val="Noto Sans CJK SC"/>
        <family val="2"/>
      </rPr>
      <t xml:space="preserve">의 </t>
    </r>
    <r>
      <rPr>
        <i val="true"/>
        <sz val="9"/>
        <color rgb="FF808080"/>
        <rFont val="Arial"/>
        <family val="0"/>
        <charset val="1"/>
      </rPr>
      <t xml:space="preserve">podCidr(100.64.64.0/20)</t>
    </r>
    <r>
      <rPr>
        <i val="true"/>
        <sz val="9"/>
        <color rgb="FF808080"/>
        <rFont val="Noto Sans CJK SC"/>
        <family val="2"/>
      </rPr>
      <t xml:space="preserve">이 동일합니다 — 의도된 설계인지 확인 필요</t>
    </r>
    <r>
      <rPr>
        <i val="true"/>
        <sz val="9"/>
        <color rgb="FF808080"/>
        <rFont val="Arial"/>
        <family val="0"/>
        <charset val="1"/>
      </rPr>
      <t xml:space="preserve">.</t>
    </r>
  </si>
  <si>
    <r>
      <rPr>
        <b val="true"/>
        <sz val="14"/>
        <rFont val="Arial"/>
        <family val="0"/>
        <charset val="1"/>
      </rPr>
      <t xml:space="preserve">PRD — 100.64.0.0/16 </t>
    </r>
    <r>
      <rPr>
        <b val="true"/>
        <sz val="14"/>
        <rFont val="Noto Sans CJK SC"/>
        <family val="2"/>
      </rPr>
      <t xml:space="preserve">내 사용</t>
    </r>
    <r>
      <rPr>
        <b val="true"/>
        <sz val="14"/>
        <rFont val="Arial"/>
        <family val="0"/>
        <charset val="1"/>
      </rPr>
      <t xml:space="preserve">/</t>
    </r>
    <r>
      <rPr>
        <b val="true"/>
        <sz val="14"/>
        <rFont val="Noto Sans CJK SC"/>
        <family val="2"/>
      </rPr>
      <t xml:space="preserve">가용 대역 </t>
    </r>
    <r>
      <rPr>
        <b val="true"/>
        <sz val="14"/>
        <rFont val="Arial"/>
        <family val="0"/>
        <charset val="1"/>
      </rPr>
      <t xml:space="preserve">(cm + kn4 </t>
    </r>
    <r>
      <rPr>
        <b val="true"/>
        <sz val="14"/>
        <rFont val="Noto Sans CJK SC"/>
        <family val="2"/>
      </rPr>
      <t xml:space="preserve">통합</t>
    </r>
    <r>
      <rPr>
        <b val="true"/>
        <sz val="14"/>
        <rFont val="Arial"/>
        <family val="0"/>
        <charset val="1"/>
      </rPr>
      <t xml:space="preserve">)</t>
    </r>
  </si>
  <si>
    <t xml:space="preserve">cm-hea-prd-genai-aks-llmopssv01</t>
  </si>
  <si>
    <t xml:space="preserve">100.64.228.0/23</t>
  </si>
  <si>
    <t xml:space="preserve">cm-hea-prd-genai-aks-llmopstr01</t>
  </si>
  <si>
    <t xml:space="preserve">100.64.230.0/23</t>
  </si>
  <si>
    <t xml:space="preserve">cm-hea-prd-genai-aks-serving01</t>
  </si>
  <si>
    <t xml:space="preserve">100.64.0.0/19</t>
  </si>
  <si>
    <t xml:space="preserve">100.64.224.0/23</t>
  </si>
  <si>
    <t xml:space="preserve">cm-hea-prd-genai-aks-solution01</t>
  </si>
  <si>
    <t xml:space="preserve">cm-hea-prd-genai-aks-training01</t>
  </si>
  <si>
    <t xml:space="preserve">100.64.226.0/23</t>
  </si>
  <si>
    <t xml:space="preserve">kn4-gai-genai-prd-aks-01</t>
  </si>
  <si>
    <t xml:space="preserve">100.64.0.0/17</t>
  </si>
  <si>
    <t xml:space="preserve">100.64.0.0 ~ 100.64.127.255</t>
  </si>
  <si>
    <r>
      <rPr>
        <i val="true"/>
        <sz val="9"/>
        <color rgb="FF808080"/>
        <rFont val="Arial"/>
        <family val="0"/>
        <charset val="1"/>
      </rPr>
      <t xml:space="preserve">※ kn4-gai-genai-prd-aks-01</t>
    </r>
    <r>
      <rPr>
        <i val="true"/>
        <sz val="9"/>
        <color rgb="FF808080"/>
        <rFont val="Noto Sans CJK SC"/>
        <family val="2"/>
      </rPr>
      <t xml:space="preserve">의 </t>
    </r>
    <r>
      <rPr>
        <i val="true"/>
        <sz val="9"/>
        <color rgb="FF808080"/>
        <rFont val="Arial"/>
        <family val="0"/>
        <charset val="1"/>
      </rPr>
      <t xml:space="preserve">podCidr/serviceCidr</t>
    </r>
    <r>
      <rPr>
        <i val="true"/>
        <sz val="9"/>
        <color rgb="FF808080"/>
        <rFont val="Noto Sans CJK SC"/>
        <family val="2"/>
      </rPr>
      <t xml:space="preserve">이 </t>
    </r>
    <r>
      <rPr>
        <i val="true"/>
        <sz val="9"/>
        <color rgb="FF808080"/>
        <rFont val="Arial"/>
        <family val="0"/>
        <charset val="1"/>
      </rPr>
      <t xml:space="preserve">cm-hea-prd-genai-aks-solution01</t>
    </r>
    <r>
      <rPr>
        <i val="true"/>
        <sz val="9"/>
        <color rgb="FF808080"/>
        <rFont val="Noto Sans CJK SC"/>
        <family val="2"/>
      </rPr>
      <t xml:space="preserve">과 완전히 동일합니다 — 확인 필요</t>
    </r>
    <r>
      <rPr>
        <i val="true"/>
        <sz val="9"/>
        <color rgb="FF808080"/>
        <rFont val="Arial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</si>
</sst>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4"/>
      <name val="Noto Sans CJK SC"/>
      <family val="2"/>
    </font>
    <font>
      <b val="true"/>
      <sz val="11"/>
      <color rgb="FFFFFFFF"/>
      <name val="Noto Sans CJK SC"/>
      <family val="2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808080"/>
      <name val="Arial"/>
      <family val="0"/>
      <charset val="1"/>
    </font>
    <font>
      <i val="true"/>
      <sz val="9"/>
      <color rgb="FF808080"/>
      <name val="Noto Sans CJK SC"/>
      <family val="2"/>
    </font>
    <font>
      <b val="true"/>
      <sz val="10"/>
      <name val="Noto Sans CJK SC"/>
      <family val="2"/>
    </font>
    <font>
      <b val="true"/>
      <sz val="1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4472C4"/>
        <bgColor rgb="FF2E75B6"/>
      </patternFill>
    </fill>
    <fill>
      <patternFill patternType="solid">
        <fgColor rgb="FF2E75B6"/>
        <bgColor rgb="FF4472C4"/>
      </patternFill>
    </fill>
    <fill>
      <patternFill patternType="solid">
        <fgColor rgb="FFDDEBF7"/>
        <bgColor rgb="FFE2EFDA"/>
      </patternFill>
    </fill>
    <fill>
      <patternFill patternType="solid">
        <fgColor rgb="FFED7D31"/>
        <bgColor rgb="FFFF8080"/>
      </patternFill>
    </fill>
    <fill>
      <patternFill patternType="solid">
        <fgColor rgb="FFFCE4D6"/>
        <bgColor rgb="FFE2EFDA"/>
      </patternFill>
    </fill>
    <fill>
      <patternFill patternType="solid">
        <fgColor rgb="FF70AD47"/>
        <bgColor rgb="FF339966"/>
      </patternFill>
    </fill>
    <fill>
      <patternFill patternType="solid">
        <fgColor rgb="FFE2EFDA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8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CE4D6"/>
      <rgbColor rgb="FFDDEBF7"/>
      <rgbColor rgb="FF660066"/>
      <rgbColor rgb="FFFF8080"/>
      <rgbColor rgb="FF2E75B6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ED7D31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22"/>
    <col collapsed="false" customWidth="true" hidden="false" outlineLevel="0" max="4" min="4" style="0" width="16"/>
  </cols>
  <sheetData>
    <row r="1" customFormat="false" ht="21.6" hidden="false" customHeight="false" outlineLevel="0" collapsed="false">
      <c r="A1" s="1" t="s">
        <v>0</v>
      </c>
    </row>
    <row r="3" customFormat="false" ht="17.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</row>
    <row r="4" customFormat="false" ht="15" hidden="false" customHeight="false" outlineLevel="0" collapsed="false">
      <c r="A4" s="3" t="s">
        <v>5</v>
      </c>
      <c r="B4" s="4" t="n">
        <v>36608</v>
      </c>
      <c r="C4" s="4" t="n">
        <v>28928</v>
      </c>
      <c r="D4" s="5" t="n">
        <f aca="false">B4/(B4+C4)</f>
        <v>0.55859375</v>
      </c>
    </row>
    <row r="5" customFormat="false" ht="15" hidden="false" customHeight="false" outlineLevel="0" collapsed="false">
      <c r="A5" s="3" t="s">
        <v>6</v>
      </c>
      <c r="B5" s="4" t="n">
        <v>27648</v>
      </c>
      <c r="C5" s="4" t="n">
        <v>37888</v>
      </c>
      <c r="D5" s="5" t="n">
        <f aca="false">B5/(B5+C5)</f>
        <v>0.421875</v>
      </c>
    </row>
    <row r="6" customFormat="false" ht="15" hidden="false" customHeight="false" outlineLevel="0" collapsed="false">
      <c r="A6" s="3" t="s">
        <v>7</v>
      </c>
      <c r="B6" s="4" t="n">
        <v>43520</v>
      </c>
      <c r="C6" s="4" t="n">
        <v>22016</v>
      </c>
      <c r="D6" s="5" t="n">
        <f aca="false">B6/(B6+C6)</f>
        <v>0.6640625</v>
      </c>
    </row>
    <row r="8" customFormat="false" ht="15" hidden="false" customHeight="false" outlineLevel="0" collapsed="false">
      <c r="A8" s="6" t="s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0"/>
    <col collapsed="false" customWidth="true" hidden="false" outlineLevel="0" max="3" min="3" style="0" width="26"/>
    <col collapsed="false" customWidth="true" hidden="false" outlineLevel="0" max="4" min="4" style="0" width="14"/>
  </cols>
  <sheetData>
    <row r="1" customFormat="false" ht="21.6" hidden="false" customHeight="false" outlineLevel="0" collapsed="false">
      <c r="A1" s="1" t="s">
        <v>9</v>
      </c>
    </row>
    <row r="3" customFormat="false" ht="17.15" hidden="false" customHeight="false" outlineLevel="0" collapsed="false">
      <c r="A3" s="7" t="s">
        <v>10</v>
      </c>
      <c r="B3" s="7"/>
      <c r="C3" s="7"/>
      <c r="D3" s="7"/>
    </row>
    <row r="4" customFormat="false" ht="15" hidden="false" customHeight="false" outlineLevel="0" collapsed="false">
      <c r="A4" s="2" t="s">
        <v>11</v>
      </c>
      <c r="B4" s="8" t="s">
        <v>12</v>
      </c>
      <c r="C4" s="8" t="s">
        <v>13</v>
      </c>
    </row>
    <row r="5" customFormat="false" ht="15" hidden="false" customHeight="false" outlineLevel="0" collapsed="false">
      <c r="A5" s="9" t="s">
        <v>14</v>
      </c>
      <c r="B5" s="9" t="s">
        <v>15</v>
      </c>
      <c r="C5" s="9" t="s">
        <v>16</v>
      </c>
    </row>
    <row r="6" customFormat="false" ht="15" hidden="false" customHeight="false" outlineLevel="0" collapsed="false">
      <c r="A6" s="9" t="s">
        <v>17</v>
      </c>
      <c r="B6" s="9" t="s">
        <v>18</v>
      </c>
      <c r="C6" s="9" t="s">
        <v>19</v>
      </c>
    </row>
    <row r="7" customFormat="false" ht="15" hidden="false" customHeight="false" outlineLevel="0" collapsed="false">
      <c r="A7" s="9" t="s">
        <v>20</v>
      </c>
      <c r="B7" s="9" t="s">
        <v>21</v>
      </c>
      <c r="C7" s="9" t="s">
        <v>22</v>
      </c>
    </row>
    <row r="8" customFormat="false" ht="15" hidden="false" customHeight="false" outlineLevel="0" collapsed="false">
      <c r="A8" s="9" t="s">
        <v>23</v>
      </c>
      <c r="B8" s="9" t="s">
        <v>24</v>
      </c>
      <c r="C8" s="9" t="s">
        <v>25</v>
      </c>
    </row>
    <row r="9" customFormat="false" ht="15" hidden="false" customHeight="false" outlineLevel="0" collapsed="false">
      <c r="A9" s="9" t="s">
        <v>26</v>
      </c>
      <c r="B9" s="9" t="s">
        <v>27</v>
      </c>
      <c r="C9" s="9" t="s">
        <v>28</v>
      </c>
    </row>
    <row r="10" customFormat="false" ht="15" hidden="false" customHeight="false" outlineLevel="0" collapsed="false">
      <c r="A10" s="9" t="s">
        <v>29</v>
      </c>
      <c r="B10" s="9" t="s">
        <v>30</v>
      </c>
      <c r="C10" s="9" t="s">
        <v>31</v>
      </c>
    </row>
    <row r="11" customFormat="false" ht="15" hidden="false" customHeight="false" outlineLevel="0" collapsed="false">
      <c r="A11" s="9" t="s">
        <v>32</v>
      </c>
      <c r="B11" s="9" t="s">
        <v>33</v>
      </c>
      <c r="C11" s="9" t="s">
        <v>34</v>
      </c>
    </row>
    <row r="12" customFormat="false" ht="15" hidden="false" customHeight="false" outlineLevel="0" collapsed="false">
      <c r="A12" s="9" t="s">
        <v>35</v>
      </c>
      <c r="B12" s="9" t="s">
        <v>36</v>
      </c>
      <c r="C12" s="9" t="s">
        <v>37</v>
      </c>
    </row>
    <row r="14" customFormat="false" ht="17.15" hidden="false" customHeight="false" outlineLevel="0" collapsed="false">
      <c r="A14" s="10" t="s">
        <v>38</v>
      </c>
      <c r="B14" s="10"/>
      <c r="C14" s="10"/>
      <c r="D14" s="10"/>
    </row>
    <row r="15" customFormat="false" ht="17.15" hidden="false" customHeight="false" outlineLevel="0" collapsed="false">
      <c r="A15" s="8" t="s">
        <v>39</v>
      </c>
      <c r="B15" s="8" t="s">
        <v>40</v>
      </c>
      <c r="C15" s="2" t="s">
        <v>41</v>
      </c>
    </row>
    <row r="16" customFormat="false" ht="15" hidden="false" customHeight="false" outlineLevel="0" collapsed="false">
      <c r="A16" s="11" t="s">
        <v>42</v>
      </c>
      <c r="B16" s="11" t="s">
        <v>43</v>
      </c>
      <c r="C16" s="12" t="n">
        <v>1024</v>
      </c>
    </row>
    <row r="17" customFormat="false" ht="15" hidden="false" customHeight="false" outlineLevel="0" collapsed="false">
      <c r="A17" s="11" t="s">
        <v>19</v>
      </c>
      <c r="B17" s="11" t="s">
        <v>44</v>
      </c>
      <c r="C17" s="12" t="n">
        <v>256</v>
      </c>
    </row>
    <row r="18" customFormat="false" ht="15" hidden="false" customHeight="false" outlineLevel="0" collapsed="false">
      <c r="A18" s="11" t="s">
        <v>45</v>
      </c>
      <c r="B18" s="11" t="s">
        <v>46</v>
      </c>
      <c r="C18" s="12" t="n">
        <v>2048</v>
      </c>
    </row>
    <row r="19" customFormat="false" ht="15" hidden="false" customHeight="false" outlineLevel="0" collapsed="false">
      <c r="A19" s="11" t="s">
        <v>30</v>
      </c>
      <c r="B19" s="11" t="s">
        <v>47</v>
      </c>
      <c r="C19" s="12" t="n">
        <v>8192</v>
      </c>
    </row>
    <row r="20" customFormat="false" ht="15" hidden="false" customHeight="false" outlineLevel="0" collapsed="false">
      <c r="A20" s="11" t="s">
        <v>48</v>
      </c>
      <c r="B20" s="11" t="s">
        <v>49</v>
      </c>
      <c r="C20" s="12" t="n">
        <v>16384</v>
      </c>
    </row>
    <row r="21" customFormat="false" ht="15" hidden="false" customHeight="false" outlineLevel="0" collapsed="false">
      <c r="A21" s="11" t="s">
        <v>36</v>
      </c>
      <c r="B21" s="11" t="s">
        <v>50</v>
      </c>
      <c r="C21" s="12" t="n">
        <v>8192</v>
      </c>
    </row>
    <row r="22" customFormat="false" ht="15" hidden="false" customHeight="false" outlineLevel="0" collapsed="false">
      <c r="A22" s="11" t="s">
        <v>37</v>
      </c>
      <c r="B22" s="11" t="s">
        <v>51</v>
      </c>
      <c r="C22" s="12" t="n">
        <v>512</v>
      </c>
    </row>
    <row r="23" customFormat="false" ht="15" hidden="false" customHeight="false" outlineLevel="0" collapsed="false">
      <c r="A23" s="13" t="s">
        <v>52</v>
      </c>
      <c r="B23" s="13"/>
      <c r="C23" s="14" t="n">
        <f aca="false">SUM(C16:C22)</f>
        <v>36608</v>
      </c>
    </row>
    <row r="25" customFormat="false" ht="17.15" hidden="false" customHeight="false" outlineLevel="0" collapsed="false">
      <c r="A25" s="15" t="s">
        <v>53</v>
      </c>
      <c r="B25" s="15"/>
      <c r="C25" s="15"/>
      <c r="D25" s="15"/>
    </row>
    <row r="26" customFormat="false" ht="17.15" hidden="false" customHeight="false" outlineLevel="0" collapsed="false">
      <c r="A26" s="8" t="s">
        <v>39</v>
      </c>
      <c r="B26" s="8" t="s">
        <v>40</v>
      </c>
      <c r="C26" s="2" t="s">
        <v>41</v>
      </c>
    </row>
    <row r="27" customFormat="false" ht="15" hidden="false" customHeight="false" outlineLevel="0" collapsed="false">
      <c r="A27" s="16" t="s">
        <v>54</v>
      </c>
      <c r="B27" s="16" t="s">
        <v>55</v>
      </c>
      <c r="C27" s="17" t="n">
        <v>256</v>
      </c>
    </row>
    <row r="28" customFormat="false" ht="15" hidden="false" customHeight="false" outlineLevel="0" collapsed="false">
      <c r="A28" s="16" t="s">
        <v>56</v>
      </c>
      <c r="B28" s="16" t="s">
        <v>57</v>
      </c>
      <c r="C28" s="17" t="n">
        <v>512</v>
      </c>
    </row>
    <row r="29" customFormat="false" ht="15" hidden="false" customHeight="false" outlineLevel="0" collapsed="false">
      <c r="A29" s="16" t="s">
        <v>58</v>
      </c>
      <c r="B29" s="16" t="s">
        <v>59</v>
      </c>
      <c r="C29" s="17" t="n">
        <v>4096</v>
      </c>
    </row>
    <row r="30" customFormat="false" ht="15" hidden="false" customHeight="false" outlineLevel="0" collapsed="false">
      <c r="A30" s="16" t="s">
        <v>60</v>
      </c>
      <c r="B30" s="16" t="s">
        <v>61</v>
      </c>
      <c r="C30" s="17" t="n">
        <v>8192</v>
      </c>
    </row>
    <row r="31" customFormat="false" ht="15" hidden="false" customHeight="false" outlineLevel="0" collapsed="false">
      <c r="A31" s="16" t="s">
        <v>62</v>
      </c>
      <c r="B31" s="16" t="s">
        <v>63</v>
      </c>
      <c r="C31" s="17" t="n">
        <v>8192</v>
      </c>
    </row>
    <row r="32" customFormat="false" ht="15" hidden="false" customHeight="false" outlineLevel="0" collapsed="false">
      <c r="A32" s="16" t="s">
        <v>64</v>
      </c>
      <c r="B32" s="16" t="s">
        <v>65</v>
      </c>
      <c r="C32" s="17" t="n">
        <v>2048</v>
      </c>
    </row>
    <row r="33" customFormat="false" ht="15" hidden="false" customHeight="false" outlineLevel="0" collapsed="false">
      <c r="A33" s="16" t="s">
        <v>66</v>
      </c>
      <c r="B33" s="16" t="s">
        <v>67</v>
      </c>
      <c r="C33" s="17" t="n">
        <v>512</v>
      </c>
    </row>
    <row r="34" customFormat="false" ht="15" hidden="false" customHeight="false" outlineLevel="0" collapsed="false">
      <c r="A34" s="16" t="s">
        <v>68</v>
      </c>
      <c r="B34" s="16" t="s">
        <v>69</v>
      </c>
      <c r="C34" s="17" t="n">
        <v>1024</v>
      </c>
    </row>
    <row r="35" customFormat="false" ht="15" hidden="false" customHeight="false" outlineLevel="0" collapsed="false">
      <c r="A35" s="16" t="s">
        <v>70</v>
      </c>
      <c r="B35" s="16" t="s">
        <v>71</v>
      </c>
      <c r="C35" s="17" t="n">
        <v>4096</v>
      </c>
    </row>
    <row r="36" customFormat="false" ht="15" hidden="false" customHeight="false" outlineLevel="0" collapsed="false">
      <c r="A36" s="18" t="s">
        <v>52</v>
      </c>
      <c r="B36" s="18"/>
      <c r="C36" s="19" t="n">
        <f aca="false">SUM(C27:C35)</f>
        <v>28928</v>
      </c>
    </row>
    <row r="38" customFormat="false" ht="30" hidden="false" customHeight="true" outlineLevel="0" collapsed="false">
      <c r="A38" s="6" t="s">
        <v>72</v>
      </c>
    </row>
  </sheetData>
  <mergeCells count="5">
    <mergeCell ref="A3:D3"/>
    <mergeCell ref="A14:D14"/>
    <mergeCell ref="A23:B23"/>
    <mergeCell ref="A25:D25"/>
    <mergeCell ref="A36:B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0"/>
    <col collapsed="false" customWidth="true" hidden="false" outlineLevel="0" max="3" min="3" style="0" width="26"/>
    <col collapsed="false" customWidth="true" hidden="false" outlineLevel="0" max="4" min="4" style="0" width="14"/>
  </cols>
  <sheetData>
    <row r="1" customFormat="false" ht="21.6" hidden="false" customHeight="false" outlineLevel="0" collapsed="false">
      <c r="A1" s="1" t="s">
        <v>73</v>
      </c>
    </row>
    <row r="3" customFormat="false" ht="17.15" hidden="false" customHeight="false" outlineLevel="0" collapsed="false">
      <c r="A3" s="7" t="s">
        <v>10</v>
      </c>
      <c r="B3" s="7"/>
      <c r="C3" s="7"/>
      <c r="D3" s="7"/>
    </row>
    <row r="4" customFormat="false" ht="15" hidden="false" customHeight="false" outlineLevel="0" collapsed="false">
      <c r="A4" s="2" t="s">
        <v>11</v>
      </c>
      <c r="B4" s="8" t="s">
        <v>12</v>
      </c>
      <c r="C4" s="8" t="s">
        <v>13</v>
      </c>
    </row>
    <row r="5" customFormat="false" ht="15" hidden="false" customHeight="false" outlineLevel="0" collapsed="false">
      <c r="A5" s="9" t="s">
        <v>74</v>
      </c>
      <c r="B5" s="9" t="s">
        <v>33</v>
      </c>
      <c r="C5" s="9" t="s">
        <v>28</v>
      </c>
    </row>
    <row r="6" customFormat="false" ht="15" hidden="false" customHeight="false" outlineLevel="0" collapsed="false">
      <c r="A6" s="9" t="s">
        <v>75</v>
      </c>
      <c r="B6" s="9" t="s">
        <v>18</v>
      </c>
      <c r="C6" s="9" t="s">
        <v>19</v>
      </c>
    </row>
    <row r="7" customFormat="false" ht="15" hidden="false" customHeight="false" outlineLevel="0" collapsed="false">
      <c r="A7" s="9" t="s">
        <v>76</v>
      </c>
      <c r="B7" s="9" t="s">
        <v>21</v>
      </c>
      <c r="C7" s="9" t="s">
        <v>22</v>
      </c>
    </row>
    <row r="8" customFormat="false" ht="15" hidden="false" customHeight="false" outlineLevel="0" collapsed="false">
      <c r="A8" s="9" t="s">
        <v>77</v>
      </c>
      <c r="B8" s="9" t="s">
        <v>78</v>
      </c>
      <c r="C8" s="9" t="s">
        <v>25</v>
      </c>
    </row>
    <row r="9" customFormat="false" ht="15" hidden="false" customHeight="false" outlineLevel="0" collapsed="false">
      <c r="A9" s="9" t="s">
        <v>79</v>
      </c>
      <c r="B9" s="9" t="s">
        <v>33</v>
      </c>
      <c r="C9" s="9" t="s">
        <v>28</v>
      </c>
    </row>
    <row r="10" customFormat="false" ht="15" hidden="false" customHeight="false" outlineLevel="0" collapsed="false">
      <c r="A10" s="9" t="s">
        <v>80</v>
      </c>
      <c r="B10" s="9" t="s">
        <v>81</v>
      </c>
      <c r="C10" s="9" t="s">
        <v>31</v>
      </c>
    </row>
    <row r="11" customFormat="false" ht="15" hidden="false" customHeight="false" outlineLevel="0" collapsed="false">
      <c r="A11" s="9" t="s">
        <v>82</v>
      </c>
      <c r="B11" s="9" t="s">
        <v>24</v>
      </c>
      <c r="C11" s="9" t="s">
        <v>34</v>
      </c>
    </row>
    <row r="13" customFormat="false" ht="17.15" hidden="false" customHeight="false" outlineLevel="0" collapsed="false">
      <c r="A13" s="10" t="s">
        <v>38</v>
      </c>
      <c r="B13" s="10"/>
      <c r="C13" s="10"/>
      <c r="D13" s="10"/>
    </row>
    <row r="14" customFormat="false" ht="17.15" hidden="false" customHeight="false" outlineLevel="0" collapsed="false">
      <c r="A14" s="8" t="s">
        <v>39</v>
      </c>
      <c r="B14" s="8" t="s">
        <v>40</v>
      </c>
      <c r="C14" s="2" t="s">
        <v>41</v>
      </c>
    </row>
    <row r="15" customFormat="false" ht="15" hidden="false" customHeight="false" outlineLevel="0" collapsed="false">
      <c r="A15" s="11" t="s">
        <v>83</v>
      </c>
      <c r="B15" s="11" t="s">
        <v>84</v>
      </c>
      <c r="C15" s="12" t="n">
        <v>512</v>
      </c>
    </row>
    <row r="16" customFormat="false" ht="15" hidden="false" customHeight="false" outlineLevel="0" collapsed="false">
      <c r="A16" s="11" t="s">
        <v>31</v>
      </c>
      <c r="B16" s="11" t="s">
        <v>85</v>
      </c>
      <c r="C16" s="12" t="n">
        <v>256</v>
      </c>
    </row>
    <row r="17" customFormat="false" ht="15" hidden="false" customHeight="false" outlineLevel="0" collapsed="false">
      <c r="A17" s="11" t="s">
        <v>19</v>
      </c>
      <c r="B17" s="11" t="s">
        <v>44</v>
      </c>
      <c r="C17" s="12" t="n">
        <v>256</v>
      </c>
    </row>
    <row r="18" customFormat="false" ht="15" hidden="false" customHeight="false" outlineLevel="0" collapsed="false">
      <c r="A18" s="11" t="s">
        <v>45</v>
      </c>
      <c r="B18" s="11" t="s">
        <v>46</v>
      </c>
      <c r="C18" s="12" t="n">
        <v>2048</v>
      </c>
    </row>
    <row r="19" customFormat="false" ht="15" hidden="false" customHeight="false" outlineLevel="0" collapsed="false">
      <c r="A19" s="11" t="s">
        <v>86</v>
      </c>
      <c r="B19" s="11" t="s">
        <v>87</v>
      </c>
      <c r="C19" s="12" t="n">
        <v>8192</v>
      </c>
    </row>
    <row r="20" customFormat="false" ht="15" hidden="false" customHeight="false" outlineLevel="0" collapsed="false">
      <c r="A20" s="11" t="s">
        <v>81</v>
      </c>
      <c r="B20" s="11" t="s">
        <v>88</v>
      </c>
      <c r="C20" s="12" t="n">
        <v>4096</v>
      </c>
    </row>
    <row r="21" customFormat="false" ht="15" hidden="false" customHeight="false" outlineLevel="0" collapsed="false">
      <c r="A21" s="11" t="s">
        <v>36</v>
      </c>
      <c r="B21" s="11" t="s">
        <v>50</v>
      </c>
      <c r="C21" s="12" t="n">
        <v>8192</v>
      </c>
    </row>
    <row r="22" customFormat="false" ht="15" hidden="false" customHeight="false" outlineLevel="0" collapsed="false">
      <c r="A22" s="11" t="s">
        <v>78</v>
      </c>
      <c r="B22" s="11" t="s">
        <v>89</v>
      </c>
      <c r="C22" s="12" t="n">
        <v>4096</v>
      </c>
    </row>
    <row r="23" customFormat="false" ht="15" hidden="false" customHeight="false" outlineLevel="0" collapsed="false">
      <c r="A23" s="13" t="s">
        <v>52</v>
      </c>
      <c r="B23" s="13"/>
      <c r="C23" s="14" t="n">
        <f aca="false">SUM(C15:C22)</f>
        <v>27648</v>
      </c>
    </row>
    <row r="25" customFormat="false" ht="17.15" hidden="false" customHeight="false" outlineLevel="0" collapsed="false">
      <c r="A25" s="15" t="s">
        <v>53</v>
      </c>
      <c r="B25" s="15"/>
      <c r="C25" s="15"/>
      <c r="D25" s="15"/>
    </row>
    <row r="26" customFormat="false" ht="17.15" hidden="false" customHeight="false" outlineLevel="0" collapsed="false">
      <c r="A26" s="8" t="s">
        <v>39</v>
      </c>
      <c r="B26" s="8" t="s">
        <v>40</v>
      </c>
      <c r="C26" s="2" t="s">
        <v>41</v>
      </c>
    </row>
    <row r="27" customFormat="false" ht="15" hidden="false" customHeight="false" outlineLevel="0" collapsed="false">
      <c r="A27" s="16" t="s">
        <v>16</v>
      </c>
      <c r="B27" s="16" t="s">
        <v>90</v>
      </c>
      <c r="C27" s="17" t="n">
        <v>256</v>
      </c>
    </row>
    <row r="28" customFormat="false" ht="15" hidden="false" customHeight="false" outlineLevel="0" collapsed="false">
      <c r="A28" s="16" t="s">
        <v>54</v>
      </c>
      <c r="B28" s="16" t="s">
        <v>55</v>
      </c>
      <c r="C28" s="17" t="n">
        <v>256</v>
      </c>
    </row>
    <row r="29" customFormat="false" ht="15" hidden="false" customHeight="false" outlineLevel="0" collapsed="false">
      <c r="A29" s="16" t="s">
        <v>56</v>
      </c>
      <c r="B29" s="16" t="s">
        <v>57</v>
      </c>
      <c r="C29" s="17" t="n">
        <v>512</v>
      </c>
    </row>
    <row r="30" customFormat="false" ht="15" hidden="false" customHeight="false" outlineLevel="0" collapsed="false">
      <c r="A30" s="16" t="s">
        <v>58</v>
      </c>
      <c r="B30" s="16" t="s">
        <v>59</v>
      </c>
      <c r="C30" s="17" t="n">
        <v>4096</v>
      </c>
    </row>
    <row r="31" customFormat="false" ht="15" hidden="false" customHeight="false" outlineLevel="0" collapsed="false">
      <c r="A31" s="16" t="s">
        <v>30</v>
      </c>
      <c r="B31" s="16" t="s">
        <v>47</v>
      </c>
      <c r="C31" s="17" t="n">
        <v>8192</v>
      </c>
    </row>
    <row r="32" customFormat="false" ht="15" hidden="false" customHeight="false" outlineLevel="0" collapsed="false">
      <c r="A32" s="16" t="s">
        <v>15</v>
      </c>
      <c r="B32" s="16" t="s">
        <v>91</v>
      </c>
      <c r="C32" s="17" t="n">
        <v>4096</v>
      </c>
    </row>
    <row r="33" customFormat="false" ht="15" hidden="false" customHeight="false" outlineLevel="0" collapsed="false">
      <c r="A33" s="16" t="s">
        <v>92</v>
      </c>
      <c r="B33" s="16" t="s">
        <v>93</v>
      </c>
      <c r="C33" s="17" t="n">
        <v>4096</v>
      </c>
    </row>
    <row r="34" customFormat="false" ht="15" hidden="false" customHeight="false" outlineLevel="0" collapsed="false">
      <c r="A34" s="16" t="s">
        <v>94</v>
      </c>
      <c r="B34" s="16" t="s">
        <v>95</v>
      </c>
      <c r="C34" s="17" t="n">
        <v>16384</v>
      </c>
    </row>
    <row r="35" customFormat="false" ht="15" hidden="false" customHeight="false" outlineLevel="0" collapsed="false">
      <c r="A35" s="18" t="s">
        <v>52</v>
      </c>
      <c r="B35" s="18"/>
      <c r="C35" s="19" t="n">
        <f aca="false">SUM(C27:C34)</f>
        <v>37888</v>
      </c>
    </row>
    <row r="37" customFormat="false" ht="30" hidden="false" customHeight="true" outlineLevel="0" collapsed="false">
      <c r="A37" s="6" t="s">
        <v>96</v>
      </c>
    </row>
  </sheetData>
  <mergeCells count="5">
    <mergeCell ref="A3:D3"/>
    <mergeCell ref="A13:D13"/>
    <mergeCell ref="A23:B23"/>
    <mergeCell ref="A25:D25"/>
    <mergeCell ref="A35:B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0"/>
    <col collapsed="false" customWidth="true" hidden="false" outlineLevel="0" max="3" min="3" style="0" width="26"/>
    <col collapsed="false" customWidth="true" hidden="false" outlineLevel="0" max="4" min="4" style="0" width="14"/>
  </cols>
  <sheetData>
    <row r="1" customFormat="false" ht="21.6" hidden="false" customHeight="false" outlineLevel="0" collapsed="false">
      <c r="A1" s="1" t="s">
        <v>97</v>
      </c>
    </row>
    <row r="3" customFormat="false" ht="17.15" hidden="false" customHeight="false" outlineLevel="0" collapsed="false">
      <c r="A3" s="7" t="s">
        <v>10</v>
      </c>
      <c r="B3" s="7"/>
      <c r="C3" s="7"/>
      <c r="D3" s="7"/>
    </row>
    <row r="4" customFormat="false" ht="15" hidden="false" customHeight="false" outlineLevel="0" collapsed="false">
      <c r="A4" s="2" t="s">
        <v>11</v>
      </c>
      <c r="B4" s="8" t="s">
        <v>12</v>
      </c>
      <c r="C4" s="8" t="s">
        <v>13</v>
      </c>
    </row>
    <row r="5" customFormat="false" ht="15" hidden="false" customHeight="false" outlineLevel="0" collapsed="false">
      <c r="A5" s="9" t="s">
        <v>98</v>
      </c>
      <c r="B5" s="9" t="s">
        <v>86</v>
      </c>
      <c r="C5" s="9" t="s">
        <v>99</v>
      </c>
    </row>
    <row r="6" customFormat="false" ht="15" hidden="false" customHeight="false" outlineLevel="0" collapsed="false">
      <c r="A6" s="9" t="s">
        <v>100</v>
      </c>
      <c r="B6" s="9" t="s">
        <v>27</v>
      </c>
      <c r="C6" s="9" t="s">
        <v>101</v>
      </c>
    </row>
    <row r="7" customFormat="false" ht="15" hidden="false" customHeight="false" outlineLevel="0" collapsed="false">
      <c r="A7" s="9" t="s">
        <v>102</v>
      </c>
      <c r="B7" s="9" t="s">
        <v>103</v>
      </c>
      <c r="C7" s="9" t="s">
        <v>104</v>
      </c>
    </row>
    <row r="8" customFormat="false" ht="15" hidden="false" customHeight="false" outlineLevel="0" collapsed="false">
      <c r="A8" s="9" t="s">
        <v>105</v>
      </c>
      <c r="B8" s="9" t="s">
        <v>36</v>
      </c>
      <c r="C8" s="9" t="s">
        <v>37</v>
      </c>
    </row>
    <row r="9" customFormat="false" ht="15" hidden="false" customHeight="false" outlineLevel="0" collapsed="false">
      <c r="A9" s="9" t="s">
        <v>106</v>
      </c>
      <c r="B9" s="9" t="s">
        <v>30</v>
      </c>
      <c r="C9" s="9" t="s">
        <v>107</v>
      </c>
    </row>
    <row r="10" customFormat="false" ht="15" hidden="false" customHeight="false" outlineLevel="0" collapsed="false">
      <c r="A10" s="9" t="s">
        <v>108</v>
      </c>
      <c r="B10" s="9" t="s">
        <v>36</v>
      </c>
      <c r="C10" s="9" t="s">
        <v>37</v>
      </c>
    </row>
    <row r="12" customFormat="false" ht="17.15" hidden="false" customHeight="false" outlineLevel="0" collapsed="false">
      <c r="A12" s="10" t="s">
        <v>38</v>
      </c>
      <c r="B12" s="10"/>
      <c r="C12" s="10"/>
      <c r="D12" s="10"/>
    </row>
    <row r="13" customFormat="false" ht="17.15" hidden="false" customHeight="false" outlineLevel="0" collapsed="false">
      <c r="A13" s="8" t="s">
        <v>39</v>
      </c>
      <c r="B13" s="8" t="s">
        <v>40</v>
      </c>
      <c r="C13" s="2" t="s">
        <v>41</v>
      </c>
    </row>
    <row r="14" customFormat="false" ht="15" hidden="false" customHeight="false" outlineLevel="0" collapsed="false">
      <c r="A14" s="11" t="s">
        <v>109</v>
      </c>
      <c r="B14" s="11" t="s">
        <v>110</v>
      </c>
      <c r="C14" s="12" t="n">
        <v>32768</v>
      </c>
    </row>
    <row r="15" customFormat="false" ht="15" hidden="false" customHeight="false" outlineLevel="0" collapsed="false">
      <c r="A15" s="11" t="s">
        <v>36</v>
      </c>
      <c r="B15" s="11" t="s">
        <v>50</v>
      </c>
      <c r="C15" s="12" t="n">
        <v>8192</v>
      </c>
    </row>
    <row r="16" customFormat="false" ht="15" hidden="false" customHeight="false" outlineLevel="0" collapsed="false">
      <c r="A16" s="11" t="s">
        <v>64</v>
      </c>
      <c r="B16" s="11" t="s">
        <v>65</v>
      </c>
      <c r="C16" s="12" t="n">
        <v>2048</v>
      </c>
    </row>
    <row r="17" customFormat="false" ht="15" hidden="false" customHeight="false" outlineLevel="0" collapsed="false">
      <c r="A17" s="11" t="s">
        <v>37</v>
      </c>
      <c r="B17" s="11" t="s">
        <v>51</v>
      </c>
      <c r="C17" s="12" t="n">
        <v>512</v>
      </c>
    </row>
    <row r="18" customFormat="false" ht="15" hidden="false" customHeight="false" outlineLevel="0" collapsed="false">
      <c r="A18" s="13" t="s">
        <v>52</v>
      </c>
      <c r="B18" s="13"/>
      <c r="C18" s="14" t="n">
        <f aca="false">SUM(C14:C17)</f>
        <v>43520</v>
      </c>
    </row>
    <row r="20" customFormat="false" ht="17.15" hidden="false" customHeight="false" outlineLevel="0" collapsed="false">
      <c r="A20" s="15" t="s">
        <v>53</v>
      </c>
      <c r="B20" s="15"/>
      <c r="C20" s="15"/>
      <c r="D20" s="15"/>
    </row>
    <row r="21" customFormat="false" ht="17.15" hidden="false" customHeight="false" outlineLevel="0" collapsed="false">
      <c r="A21" s="8" t="s">
        <v>39</v>
      </c>
      <c r="B21" s="8" t="s">
        <v>40</v>
      </c>
      <c r="C21" s="2" t="s">
        <v>41</v>
      </c>
    </row>
    <row r="22" customFormat="false" ht="15" hidden="false" customHeight="false" outlineLevel="0" collapsed="false">
      <c r="A22" s="16" t="s">
        <v>60</v>
      </c>
      <c r="B22" s="16" t="s">
        <v>61</v>
      </c>
      <c r="C22" s="17" t="n">
        <v>8192</v>
      </c>
    </row>
    <row r="23" customFormat="false" ht="15" hidden="false" customHeight="false" outlineLevel="0" collapsed="false">
      <c r="A23" s="16" t="s">
        <v>62</v>
      </c>
      <c r="B23" s="16" t="s">
        <v>63</v>
      </c>
      <c r="C23" s="17" t="n">
        <v>8192</v>
      </c>
    </row>
    <row r="24" customFormat="false" ht="15" hidden="false" customHeight="false" outlineLevel="0" collapsed="false">
      <c r="A24" s="16" t="s">
        <v>66</v>
      </c>
      <c r="B24" s="16" t="s">
        <v>67</v>
      </c>
      <c r="C24" s="17" t="n">
        <v>512</v>
      </c>
    </row>
    <row r="25" customFormat="false" ht="15" hidden="false" customHeight="false" outlineLevel="0" collapsed="false">
      <c r="A25" s="16" t="s">
        <v>68</v>
      </c>
      <c r="B25" s="16" t="s">
        <v>69</v>
      </c>
      <c r="C25" s="17" t="n">
        <v>1024</v>
      </c>
    </row>
    <row r="26" customFormat="false" ht="15" hidden="false" customHeight="false" outlineLevel="0" collapsed="false">
      <c r="A26" s="16" t="s">
        <v>70</v>
      </c>
      <c r="B26" s="16" t="s">
        <v>71</v>
      </c>
      <c r="C26" s="17" t="n">
        <v>4096</v>
      </c>
    </row>
    <row r="27" customFormat="false" ht="15" hidden="false" customHeight="false" outlineLevel="0" collapsed="false">
      <c r="A27" s="18" t="s">
        <v>52</v>
      </c>
      <c r="B27" s="18"/>
      <c r="C27" s="19" t="n">
        <f aca="false">SUM(C22:C26)</f>
        <v>22016</v>
      </c>
    </row>
    <row r="29" customFormat="false" ht="30" hidden="false" customHeight="true" outlineLevel="0" collapsed="false">
      <c r="A29" s="6" t="s">
        <v>111</v>
      </c>
    </row>
  </sheetData>
  <mergeCells count="5">
    <mergeCell ref="A3:D3"/>
    <mergeCell ref="A12:D12"/>
    <mergeCell ref="A18:B18"/>
    <mergeCell ref="A20:D20"/>
    <mergeCell ref="A27:B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2026-08-19T06:00:10Z</dcterms:created>
  <dc:creator>openpyxl</dc:creator>
  <dc:description/>
  <dc:language>en-US</dc:language>
  <cp:lastModifiedBy/>
  <dcterms:modified xsi:type="dcterms:W3CDTF">2026-08-19T06:00:10Z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